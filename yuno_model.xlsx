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&quot;M&quot;"/>
  </numFmts>
  <fonts count="14">
    <font>
      <name val="Calibri"/>
      <family val="2"/>
      <color theme="1"/>
      <sz val="11"/>
      <scheme val="minor"/>
    </font>
    <font>
      <name val="Calibri"/>
      <b val="1"/>
      <color rgb="001C1E26"/>
      <sz val="14"/>
    </font>
    <font>
      <name val="Calibri"/>
      <i val="1"/>
      <color rgb="006B7280"/>
      <sz val="9"/>
    </font>
    <font>
      <name val="Calibri"/>
      <b val="1"/>
      <color rgb="00FFFFFF"/>
      <sz val="9"/>
    </font>
    <font>
      <name val="Calibri"/>
      <color rgb="001C1E26"/>
      <sz val="10"/>
    </font>
    <font>
      <name val="Calibri"/>
      <b val="1"/>
      <color rgb="001C1E26"/>
      <sz val="10"/>
    </font>
    <font>
      <name val="Calibri"/>
      <color rgb="007C2D12"/>
      <sz val="10"/>
    </font>
    <font>
      <name val="Calibri"/>
      <b val="1"/>
      <color rgb="006B7280"/>
      <sz val="9"/>
    </font>
    <font>
      <name val="Calibri"/>
      <i val="1"/>
      <color rgb="001C1E26"/>
      <sz val="10"/>
    </font>
    <font>
      <name val="Calibri"/>
      <b val="1"/>
      <color rgb="001C1E26"/>
      <sz val="13"/>
    </font>
    <font>
      <name val="Calibri"/>
      <b val="1"/>
      <color rgb="00065F46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i val="1"/>
      <color rgb="001C1E26"/>
      <sz val="9"/>
    </font>
  </fonts>
  <fills count="9">
    <fill>
      <patternFill/>
    </fill>
    <fill>
      <patternFill patternType="gray125"/>
    </fill>
    <fill>
      <patternFill patternType="solid">
        <fgColor rgb="001C1E26"/>
      </patternFill>
    </fill>
    <fill>
      <patternFill patternType="solid">
        <fgColor rgb="00EEF0FF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F5F6FA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8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medium">
        <color rgb="00D97706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C1E26"/>
      </top>
      <bottom style="medium">
        <color rgb="001C1E26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4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6" fillId="5" borderId="5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7" fillId="6" borderId="7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10" fontId="5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 indent="1"/>
    </xf>
    <xf numFmtId="9" fontId="5" fillId="3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indent="1"/>
    </xf>
    <xf numFmtId="10" fontId="4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wrapText="1" indent="1"/>
    </xf>
    <xf numFmtId="165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49" fontId="5" fillId="3" borderId="1" applyAlignment="1" pivotButton="0" quotePrefix="0" xfId="0">
      <alignment horizontal="right" vertical="center"/>
    </xf>
    <xf numFmtId="49" fontId="4" fillId="4" borderId="1" applyAlignment="1" pivotButton="0" quotePrefix="0" xfId="0">
      <alignment horizontal="left" vertical="center" indent="1"/>
    </xf>
    <xf numFmtId="164" fontId="4" fillId="4" borderId="1" applyAlignment="1" pivotButton="0" quotePrefix="0" xfId="0">
      <alignment horizontal="right" vertical="center"/>
    </xf>
    <xf numFmtId="49" fontId="5" fillId="6" borderId="1" applyAlignment="1" pivotButton="0" quotePrefix="0" xfId="0">
      <alignment horizontal="left" vertical="center" indent="1"/>
    </xf>
    <xf numFmtId="164" fontId="5" fillId="6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5" fillId="6" borderId="1" applyAlignment="1" pivotButton="0" quotePrefix="0" xfId="0">
      <alignment horizontal="left" vertical="center" indent="1"/>
    </xf>
    <xf numFmtId="164" fontId="10" fillId="7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" customWidth="1" min="4" max="4"/>
  </cols>
  <sheetData>
    <row r="1" ht="8" customHeight="1"/>
    <row r="2" ht="24" customHeight="1">
      <c r="B2" s="1" t="inlineStr">
        <is>
          <t>Yuno.strategy — Indonesia Decision Summary</t>
        </is>
      </c>
    </row>
    <row r="3" ht="16" customHeight="1">
      <c r="B3" s="2" t="inlineStr">
        <is>
          <t>CEO &amp; VP Strategy · February 2026 · Confidential</t>
        </is>
      </c>
    </row>
    <row r="5" ht="18" customHeight="1">
      <c r="B5" s="3" t="inlineStr">
        <is>
          <t>RECOMMENDATION</t>
        </is>
      </c>
      <c r="C5" s="4" t="n"/>
    </row>
    <row r="6" ht="52" customHeight="1">
      <c r="B6" s="5" t="inlineStr">
        <is>
          <t>Negotiate a time-limited bridge partnership with PayLink (12–18 months, not 3 years) while completing the direct Indonesia build in parallel. Launch via PayLink in ~60 days to protect the three at-risk merchants. Transition to direct integrations in Year 2.</t>
        </is>
      </c>
      <c r="C6" s="4" t="n"/>
    </row>
    <row r="8" ht="18" customHeight="1">
      <c r="B8" s="3" t="inlineStr">
        <is>
          <t>KEY NUMBERS</t>
        </is>
      </c>
      <c r="C8" s="4" t="n"/>
    </row>
    <row r="9" ht="17" customHeight="1">
      <c r="B9" s="6" t="inlineStr">
        <is>
          <t>Bridge 3-year NPV</t>
        </is>
      </c>
      <c r="C9" s="7">
        <f>Model!E26</f>
        <v/>
      </c>
    </row>
    <row r="10" ht="17" customHeight="1">
      <c r="B10" s="6" t="inlineStr">
        <is>
          <t>Direct Build 3-year NPV</t>
        </is>
      </c>
      <c r="C10" s="7">
        <f>Model!D26</f>
        <v/>
      </c>
    </row>
    <row r="11" ht="17" customHeight="1">
      <c r="B11" s="6" t="inlineStr">
        <is>
          <t>PayLink Exclusive 3-year NPV</t>
        </is>
      </c>
      <c r="C11" s="7">
        <f>Model!C26</f>
        <v/>
      </c>
    </row>
    <row r="12" ht="17" customHeight="1">
      <c r="B12" s="6" t="inlineStr">
        <is>
          <t>Bridge NPV advantage over PayLink</t>
        </is>
      </c>
      <c r="C12" s="7">
        <f>Model!E26-Model!C26</f>
        <v/>
      </c>
    </row>
    <row r="13" ht="17" customHeight="1">
      <c r="B13" s="6" t="inlineStr">
        <is>
          <t>At-risk merchant existing revenue (annual)</t>
        </is>
      </c>
      <c r="C13" s="7">
        <f>Inputs!C25</f>
        <v/>
      </c>
    </row>
    <row r="14" ht="17" customHeight="1">
      <c r="B14" s="6" t="inlineStr">
        <is>
          <t>Cost of 1 full merchant churn (3yr est.)</t>
        </is>
      </c>
      <c r="C14" s="7" t="n">
        <v>417000</v>
      </c>
    </row>
    <row r="15" ht="17" customHeight="1">
      <c r="B15" s="6" t="inlineStr">
        <is>
          <t>Engineering build cost (one-time)</t>
        </is>
      </c>
      <c r="C15" s="7">
        <f>Inputs!C31</f>
        <v/>
      </c>
    </row>
    <row r="16" ht="17" customHeight="1">
      <c r="B16" s="6" t="inlineStr">
        <is>
          <t>Time to Indonesia launch — Partnership</t>
        </is>
      </c>
      <c r="C16" s="8" t="inlineStr">
        <is>
          <t>~60 days</t>
        </is>
      </c>
    </row>
    <row r="17" ht="17" customHeight="1">
      <c r="B17" s="6" t="inlineStr">
        <is>
          <t>Time to Indonesia launch — Direct Build</t>
        </is>
      </c>
      <c r="C17" s="8" t="inlineStr">
        <is>
          <t>~9 months</t>
        </is>
      </c>
    </row>
    <row r="19" ht="18" customHeight="1">
      <c r="B19" s="3" t="inlineStr">
        <is>
          <t>WALK-AWAY CONDITION</t>
        </is>
      </c>
      <c r="C19" s="4" t="n"/>
    </row>
    <row r="20" ht="56" customHeight="1">
      <c r="B20" s="9" t="inlineStr">
        <is>
          <t>If PayLink insists on 3-year blanket exclusivity with no performance-based exit rights, decline the deal. The cost of routing lock-in over 36 months in Indonesia's growth phase outweighs the merchant retention value of the partnership under any reasonable scenario.</t>
        </is>
      </c>
      <c r="C20" s="4" t="n"/>
    </row>
  </sheetData>
  <mergeCells count="6">
    <mergeCell ref="B6:C6"/>
    <mergeCell ref="B2:C2"/>
    <mergeCell ref="B19:C19"/>
    <mergeCell ref="B5:C5"/>
    <mergeCell ref="B20:C20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2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30" customWidth="1" min="4" max="4"/>
    <col width="2" customWidth="1" min="5" max="5"/>
  </cols>
  <sheetData>
    <row r="1" ht="8" customHeight="1"/>
    <row r="2" ht="24" customHeight="1">
      <c r="B2" s="1" t="inlineStr">
        <is>
          <t>Yuno.strategy — Indonesia Model Inputs</t>
        </is>
      </c>
    </row>
    <row r="3">
      <c r="B3" s="2" t="inlineStr">
        <is>
          <t>Change yellow cells. All other sheets update automatically.</t>
        </is>
      </c>
    </row>
    <row r="5" ht="18" customHeight="1">
      <c r="B5" s="3" t="inlineStr">
        <is>
          <t>UNIT ECONOMICS</t>
        </is>
      </c>
      <c r="C5" s="10" t="n"/>
      <c r="D5" s="4" t="n"/>
    </row>
    <row r="6" ht="28" customHeight="1">
      <c r="B6" s="11" t="inlineStr">
        <is>
          <t>Input</t>
        </is>
      </c>
      <c r="C6" s="11" t="inlineStr">
        <is>
          <t>Value</t>
        </is>
      </c>
      <c r="D6" s="11" t="inlineStr">
        <is>
          <t>Notes</t>
        </is>
      </c>
    </row>
    <row r="7" ht="17" customHeight="1">
      <c r="B7" s="12" t="inlineStr">
        <is>
          <t>Direct net take rate</t>
        </is>
      </c>
      <c r="C7" s="13" t="n">
        <v>0.002</v>
      </c>
      <c r="D7" s="14" t="inlineStr">
        <is>
          <t>Midpoint of 0.18–0.22% range</t>
        </is>
      </c>
    </row>
    <row r="8" ht="17" customHeight="1">
      <c r="B8" s="12" t="inlineStr">
        <is>
          <t>PayLink revenue share (Yuno %)</t>
        </is>
      </c>
      <c r="C8" s="15" t="n">
        <v>0.35</v>
      </c>
      <c r="D8" s="14" t="inlineStr">
        <is>
          <t>35% per PayLink proposal</t>
        </is>
      </c>
    </row>
    <row r="9" ht="17" customHeight="1">
      <c r="B9" s="16" t="inlineStr">
        <is>
          <t>PayLink take rate (= direct × share)</t>
        </is>
      </c>
      <c r="C9" s="17">
        <f>C7*C8</f>
        <v/>
      </c>
      <c r="D9" s="18" t="inlineStr">
        <is>
          <t>Derived — do not edit</t>
        </is>
      </c>
    </row>
    <row r="10" ht="17" customHeight="1">
      <c r="B10" s="12" t="inlineStr">
        <is>
          <t>Discount rate (NPV)</t>
        </is>
      </c>
      <c r="C10" s="15" t="n">
        <v>0.12</v>
      </c>
      <c r="D10" s="14" t="inlineStr">
        <is>
          <t>12% — standard for growth-stage payments</t>
        </is>
      </c>
    </row>
    <row r="11" ht="15" customHeight="1">
      <c r="B11" s="19" t="inlineStr">
        <is>
          <t>Yellow cells are editable assumptions.</t>
        </is>
      </c>
    </row>
    <row r="13" ht="18" customHeight="1">
      <c r="B13" s="3" t="inlineStr">
        <is>
          <t>INDONESIA GMV RAMP</t>
        </is>
      </c>
      <c r="C13" s="10" t="n"/>
      <c r="D13" s="4" t="n"/>
    </row>
    <row r="14" ht="28" customHeight="1">
      <c r="B14" s="11" t="inlineStr">
        <is>
          <t>Input</t>
        </is>
      </c>
      <c r="C14" s="11" t="inlineStr">
        <is>
          <t>Value</t>
        </is>
      </c>
      <c r="D14" s="11" t="inlineStr">
        <is>
          <t>Notes</t>
        </is>
      </c>
    </row>
    <row r="15" ht="17" customHeight="1">
      <c r="B15" s="12" t="inlineStr">
        <is>
          <t>Year 1 GMV — full-year potential ($M)</t>
        </is>
      </c>
      <c r="C15" s="20" t="n">
        <v>120</v>
      </c>
      <c r="D15" s="14" t="inlineStr">
        <is>
          <t>Mid-range of $80M–$150M (case prompt)</t>
        </is>
      </c>
    </row>
    <row r="16" ht="17" customHeight="1">
      <c r="B16" s="12" t="inlineStr">
        <is>
          <t>Year 2 GMV — full-year potential ($M)</t>
        </is>
      </c>
      <c r="C16" s="20" t="n">
        <v>300</v>
      </c>
      <c r="D16" s="14" t="inlineStr">
        <is>
          <t>Interpolated; ~25–30% market growth</t>
        </is>
      </c>
    </row>
    <row r="17" ht="17" customHeight="1">
      <c r="B17" s="12" t="inlineStr">
        <is>
          <t>Year 3 GMV — full-year potential ($M)</t>
        </is>
      </c>
      <c r="C17" s="20" t="n">
        <v>550</v>
      </c>
      <c r="D17" s="14" t="inlineStr">
        <is>
          <t>Mid-range of $400M–$700M (case prompt)</t>
        </is>
      </c>
    </row>
    <row r="18" ht="17" customHeight="1">
      <c r="B18" s="12" t="inlineStr">
        <is>
          <t>PayLink path: Y1 GMV capture</t>
        </is>
      </c>
      <c r="C18" s="15" t="n">
        <v>0.9</v>
      </c>
      <c r="D18" s="14" t="inlineStr">
        <is>
          <t>Launches Month 2 — 10 active months</t>
        </is>
      </c>
    </row>
    <row r="19" ht="17" customHeight="1">
      <c r="B19" s="12" t="inlineStr">
        <is>
          <t>Direct Build path: Y1 GMV capture</t>
        </is>
      </c>
      <c r="C19" s="15" t="n">
        <v>0.5</v>
      </c>
      <c r="D19" s="14" t="inlineStr">
        <is>
          <t>Launches Month 9 + competitive catch-up lag</t>
        </is>
      </c>
    </row>
    <row r="20" ht="17" customHeight="1">
      <c r="B20" s="12" t="inlineStr">
        <is>
          <t>Bridge path: Y1 GMV capture (PayLink econ)</t>
        </is>
      </c>
      <c r="C20" s="15" t="n">
        <v>0.9</v>
      </c>
      <c r="D20" s="14" t="inlineStr">
        <is>
          <t>Same as PayLink in Year 1</t>
        </is>
      </c>
    </row>
    <row r="22" ht="18" customHeight="1">
      <c r="B22" s="3" t="inlineStr">
        <is>
          <t>AT-RISK MERCHANT ASSUMPTIONS</t>
        </is>
      </c>
      <c r="C22" s="10" t="n"/>
      <c r="D22" s="4" t="n"/>
    </row>
    <row r="23" ht="28" customHeight="1">
      <c r="B23" s="11" t="inlineStr">
        <is>
          <t>Input</t>
        </is>
      </c>
      <c r="C23" s="11" t="inlineStr">
        <is>
          <t>Value</t>
        </is>
      </c>
      <c r="D23" s="11" t="inlineStr">
        <is>
          <t>Notes</t>
        </is>
      </c>
    </row>
    <row r="24" ht="17" customHeight="1">
      <c r="B24" s="12" t="inlineStr">
        <is>
          <t>At-risk merchant GMV (non-Indonesia, $/yr)</t>
        </is>
      </c>
      <c r="C24" s="21" t="n">
        <v>180000000</v>
      </c>
      <c r="D24" s="14" t="inlineStr">
        <is>
          <t>Three merchants combined (case prompt)</t>
        </is>
      </c>
    </row>
    <row r="25" ht="17" customHeight="1">
      <c r="B25" s="12" t="inlineStr">
        <is>
          <t>Current Yuno revenue from these merchants ($/yr)</t>
        </is>
      </c>
      <c r="C25" s="21" t="n">
        <v>360000</v>
      </c>
      <c r="D25" s="14">
        <f> $180M × 0.20% net take rate</f>
        <v/>
      </c>
    </row>
    <row r="26" ht="17" customHeight="1">
      <c r="B26" s="12" t="inlineStr">
        <is>
          <t>Churn probability — PayLink / Bridge path</t>
        </is>
      </c>
      <c r="C26" s="15" t="n">
        <v>0.05</v>
      </c>
      <c r="D26" s="14" t="inlineStr">
        <is>
          <t>Low: Indonesia live in 60 days</t>
        </is>
      </c>
    </row>
    <row r="27" ht="17" customHeight="1">
      <c r="B27" s="12" t="inlineStr">
        <is>
          <t>Churn probability — Direct Build path</t>
        </is>
      </c>
      <c r="C27" s="15" t="n">
        <v>0.3</v>
      </c>
      <c r="D27" s="14" t="inlineStr">
        <is>
          <t>Key sensitivity — adjust and see Model sheet</t>
        </is>
      </c>
    </row>
    <row r="29" ht="18" customHeight="1">
      <c r="B29" s="3" t="inlineStr">
        <is>
          <t>BUILD COST</t>
        </is>
      </c>
      <c r="C29" s="10" t="n"/>
      <c r="D29" s="4" t="n"/>
    </row>
    <row r="30" ht="28" customHeight="1">
      <c r="B30" s="11" t="inlineStr">
        <is>
          <t>Input</t>
        </is>
      </c>
      <c r="C30" s="11" t="inlineStr">
        <is>
          <t>Value</t>
        </is>
      </c>
      <c r="D30" s="11" t="inlineStr">
        <is>
          <t>Notes</t>
        </is>
      </c>
    </row>
    <row r="31" ht="17" customHeight="1">
      <c r="B31" s="12" t="inlineStr">
        <is>
          <t>Direct integration engineering + compliance ($)</t>
        </is>
      </c>
      <c r="C31" s="21" t="n">
        <v>400000</v>
      </c>
      <c r="D31" s="14" t="inlineStr">
        <is>
          <t>One-time cost (case prompt)</t>
        </is>
      </c>
    </row>
    <row r="32" ht="17" customHeight="1">
      <c r="B32" s="12" t="inlineStr">
        <is>
          <t>Capital constraint?</t>
        </is>
      </c>
      <c r="C32" s="22" t="inlineStr">
        <is>
          <t>Not capital-constrained</t>
        </is>
      </c>
      <c r="D32" s="14" t="inlineStr">
        <is>
          <t>Key assumption — $400K is material but not a blocker</t>
        </is>
      </c>
    </row>
  </sheetData>
  <mergeCells count="7">
    <mergeCell ref="B11:D11"/>
    <mergeCell ref="B3:D3"/>
    <mergeCell ref="B5:D5"/>
    <mergeCell ref="B22:D22"/>
    <mergeCell ref="B13:D13"/>
    <mergeCell ref="B29:D29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18" customWidth="1" min="4" max="4"/>
    <col width="18" customWidth="1" min="5" max="5"/>
    <col width="2" customWidth="1" min="6" max="6"/>
  </cols>
  <sheetData>
    <row r="1" ht="8" customHeight="1"/>
    <row r="2" ht="24" customHeight="1">
      <c r="B2" s="1" t="inlineStr">
        <is>
          <t>Yuno.strategy — 3-Year Financial Model</t>
        </is>
      </c>
    </row>
    <row r="3">
      <c r="B3" s="2" t="inlineStr">
        <is>
          <t>All formulas reference the Inputs sheet. Change assumptions there.</t>
        </is>
      </c>
    </row>
    <row r="5" ht="18" customHeight="1">
      <c r="B5" s="3" t="inlineStr">
        <is>
          <t>REVENUE COMPARISON — ALL FIGURES IN USD</t>
        </is>
      </c>
      <c r="C5" s="10" t="n"/>
      <c r="D5" s="10" t="n"/>
      <c r="E5" s="4" t="n"/>
    </row>
    <row r="6" ht="28" customHeight="1">
      <c r="B6" s="11" t="inlineStr">
        <is>
          <t>Line Item</t>
        </is>
      </c>
      <c r="C6" s="11" t="inlineStr">
        <is>
          <t>A. PayLink Exclusive</t>
        </is>
      </c>
      <c r="D6" s="11" t="inlineStr">
        <is>
          <t>B. Direct Build</t>
        </is>
      </c>
      <c r="E6" s="11" t="inlineStr">
        <is>
          <t>C. Bridge (Recommended)</t>
        </is>
      </c>
    </row>
    <row r="7" ht="18" customHeight="1">
      <c r="B7" s="3" t="inlineStr">
        <is>
          <t>YEAR 1</t>
        </is>
      </c>
      <c r="C7" s="10" t="n"/>
      <c r="D7" s="10" t="n"/>
      <c r="E7" s="4" t="n"/>
    </row>
    <row r="8" ht="17" customHeight="1">
      <c r="B8" s="23" t="inlineStr">
        <is>
          <t>GMV captured ($)</t>
        </is>
      </c>
      <c r="C8" s="24">
        <f>Inputs!C15*Inputs!C7*1000000</f>
        <v/>
      </c>
      <c r="D8" s="24">
        <f>Inputs!C16*Inputs!C7*1000000</f>
        <v/>
      </c>
      <c r="E8" s="24">
        <f>Inputs!C17*Inputs!C7*1000000</f>
        <v/>
      </c>
    </row>
    <row r="9" ht="17" customHeight="1">
      <c r="B9" s="23" t="inlineStr">
        <is>
          <t>Revenue from Indonesia ($)</t>
        </is>
      </c>
      <c r="C9" s="24">
        <f>C8*Inputs!C9</f>
        <v/>
      </c>
      <c r="D9" s="24">
        <f>D8*Inputs!C7</f>
        <v/>
      </c>
      <c r="E9" s="24">
        <f>E8*Inputs!C9</f>
        <v/>
      </c>
    </row>
    <row r="10" ht="17" customHeight="1">
      <c r="B10" s="23" t="inlineStr">
        <is>
          <t>Retained merchant revenue ($)</t>
        </is>
      </c>
      <c r="C10" s="24">
        <f>Inputs!C25*(1-Inputs!C26)</f>
        <v/>
      </c>
      <c r="D10" s="24">
        <f>Inputs!C25*(1-Inputs!C27)</f>
        <v/>
      </c>
      <c r="E10" s="24">
        <f>Inputs!C25*(1-Inputs!C26)</f>
        <v/>
      </c>
    </row>
    <row r="11" ht="17" customHeight="1">
      <c r="B11" s="23" t="inlineStr">
        <is>
          <t>Engineering / compliance cost ($)</t>
        </is>
      </c>
      <c r="C11" s="24" t="inlineStr">
        <is>
          <t>0</t>
        </is>
      </c>
      <c r="D11" s="24">
        <f>-Inputs!C31</f>
        <v/>
      </c>
      <c r="E11" s="24" t="inlineStr">
        <is>
          <t>0</t>
        </is>
      </c>
    </row>
    <row r="12" ht="17" customHeight="1">
      <c r="B12" s="25" t="inlineStr">
        <is>
          <t>Year 1 Net Contribution ($)</t>
        </is>
      </c>
      <c r="C12" s="26">
        <f>C9+C10+C11</f>
        <v/>
      </c>
      <c r="D12" s="26">
        <f>D9+D10+D11</f>
        <v/>
      </c>
      <c r="E12" s="26">
        <f>E9+E10+E11</f>
        <v/>
      </c>
    </row>
    <row r="13" ht="18" customHeight="1">
      <c r="B13" s="3" t="inlineStr">
        <is>
          <t>YEAR 2</t>
        </is>
      </c>
      <c r="C13" s="10" t="n"/>
      <c r="D13" s="10" t="n"/>
      <c r="E13" s="4" t="n"/>
    </row>
    <row r="14" ht="17" customHeight="1">
      <c r="B14" s="23" t="inlineStr">
        <is>
          <t>GMV ($)</t>
        </is>
      </c>
      <c r="C14" s="24">
        <f>Inputs!C8*1000000</f>
        <v/>
      </c>
      <c r="D14" s="24">
        <f>Inputs!C8*1000000</f>
        <v/>
      </c>
      <c r="E14" s="24">
        <f>Inputs!C8*1000000</f>
        <v/>
      </c>
    </row>
    <row r="15" ht="17" customHeight="1">
      <c r="B15" s="23" t="inlineStr">
        <is>
          <t>Revenue from Indonesia ($)</t>
        </is>
      </c>
      <c r="C15" s="24">
        <f>C14*Inputs!C9</f>
        <v/>
      </c>
      <c r="D15" s="24">
        <f>D14*Inputs!C7</f>
        <v/>
      </c>
      <c r="E15" s="24">
        <f>E14*Inputs!C7</f>
        <v/>
      </c>
    </row>
    <row r="16" ht="17" customHeight="1">
      <c r="B16" s="23" t="inlineStr">
        <is>
          <t>Retained merchant revenue ($)</t>
        </is>
      </c>
      <c r="C16" s="24">
        <f>Inputs!C25*(1-Inputs!C26)</f>
        <v/>
      </c>
      <c r="D16" s="24">
        <f>Inputs!C25*(1-Inputs!C27)</f>
        <v/>
      </c>
      <c r="E16" s="24">
        <f>Inputs!C25*(1-Inputs!C26)</f>
        <v/>
      </c>
    </row>
    <row r="17" ht="17" customHeight="1">
      <c r="B17" s="25" t="inlineStr">
        <is>
          <t>Year 2 Net Contribution ($)</t>
        </is>
      </c>
      <c r="C17" s="26">
        <f>C15+C16</f>
        <v/>
      </c>
      <c r="D17" s="26">
        <f>D15+D16</f>
        <v/>
      </c>
      <c r="E17" s="26">
        <f>E15+E16</f>
        <v/>
      </c>
    </row>
    <row r="18" ht="18" customHeight="1">
      <c r="B18" s="3" t="inlineStr">
        <is>
          <t>YEAR 3</t>
        </is>
      </c>
      <c r="C18" s="10" t="n"/>
      <c r="D18" s="10" t="n"/>
      <c r="E18" s="4" t="n"/>
    </row>
    <row r="19" ht="17" customHeight="1">
      <c r="B19" s="23" t="inlineStr">
        <is>
          <t>GMV ($)</t>
        </is>
      </c>
      <c r="C19" s="24">
        <f>Inputs!C9*1000000</f>
        <v/>
      </c>
      <c r="D19" s="24">
        <f>Inputs!C9*1000000</f>
        <v/>
      </c>
      <c r="E19" s="24">
        <f>Inputs!C9*1000000</f>
        <v/>
      </c>
    </row>
    <row r="20" ht="17" customHeight="1">
      <c r="B20" s="23" t="inlineStr">
        <is>
          <t>Revenue from Indonesia ($)</t>
        </is>
      </c>
      <c r="C20" s="24">
        <f>C19*Inputs!C9</f>
        <v/>
      </c>
      <c r="D20" s="24">
        <f>D19*Inputs!C7</f>
        <v/>
      </c>
      <c r="E20" s="24">
        <f>E19*Inputs!C7</f>
        <v/>
      </c>
    </row>
    <row r="21" ht="17" customHeight="1">
      <c r="B21" s="23" t="inlineStr">
        <is>
          <t>Retained merchant revenue ($)</t>
        </is>
      </c>
      <c r="C21" s="24">
        <f>Inputs!C25*(1-Inputs!C26)</f>
        <v/>
      </c>
      <c r="D21" s="24">
        <f>Inputs!C25*(1-Inputs!C27)</f>
        <v/>
      </c>
      <c r="E21" s="24">
        <f>Inputs!C25*(1-Inputs!C26)</f>
        <v/>
      </c>
    </row>
    <row r="22" ht="17" customHeight="1">
      <c r="B22" s="25" t="inlineStr">
        <is>
          <t>Year 3 Net Contribution ($)</t>
        </is>
      </c>
      <c r="C22" s="26">
        <f>C20+C21</f>
        <v/>
      </c>
      <c r="D22" s="26">
        <f>D20+D21</f>
        <v/>
      </c>
      <c r="E22" s="26">
        <f>E20+E21</f>
        <v/>
      </c>
    </row>
    <row r="23" ht="18" customHeight="1">
      <c r="B23" s="3" t="inlineStr">
        <is>
          <t>TOTALS</t>
        </is>
      </c>
      <c r="C23" s="10" t="n"/>
      <c r="D23" s="10" t="n"/>
      <c r="E23" s="4" t="n"/>
    </row>
    <row r="24" ht="17" customHeight="1">
      <c r="B24" s="23" t="inlineStr">
        <is>
          <t>3-Year Gross Revenue ($)</t>
        </is>
      </c>
      <c r="C24" s="24">
        <f>C12+C17+C22</f>
        <v/>
      </c>
      <c r="D24" s="24">
        <f>D12+C17+C22</f>
        <v/>
      </c>
      <c r="E24" s="27">
        <f>E12+C17+C22</f>
        <v/>
      </c>
    </row>
    <row r="25" ht="17" customHeight="1">
      <c r="B25" s="25" t="inlineStr">
        <is>
          <t>3-Year Net Total (after build cost) ($)</t>
        </is>
      </c>
      <c r="C25" s="26">
        <f>C12+C17+C22</f>
        <v/>
      </c>
      <c r="D25" s="26">
        <f>D12+C17+C22</f>
        <v/>
      </c>
      <c r="E25" s="21">
        <f>E12+C17+C22</f>
        <v/>
      </c>
    </row>
    <row r="26" ht="17" customHeight="1">
      <c r="B26" s="25" t="inlineStr">
        <is>
          <t>3-Year NPV (12% discount rate) ($)</t>
        </is>
      </c>
      <c r="C26" s="26">
        <f>C12/(1+0.12)^1+C17/(1+0.12)^2+C22/(1+0.12)^3</f>
        <v/>
      </c>
      <c r="D26" s="26">
        <f>D12/(1+0.12)^1+C17/(1+0.12)^2+C22/(1+0.12)^3</f>
        <v/>
      </c>
      <c r="E26" s="21">
        <f>E12/(1+0.12)^1+C17/(1+0.12)^2+C22/(1+0.12)^3</f>
        <v/>
      </c>
    </row>
    <row r="27" ht="8" customHeight="1"/>
    <row r="28" ht="18" customHeight="1">
      <c r="B28" s="3" t="inlineStr">
        <is>
          <t>ADVANTAGE vs. PAYLINK EXCLUSIVE</t>
        </is>
      </c>
      <c r="C28" s="10" t="n"/>
      <c r="D28" s="10" t="n"/>
      <c r="E28" s="4" t="n"/>
    </row>
    <row r="29" ht="17" customHeight="1">
      <c r="B29" s="28" t="inlineStr">
        <is>
          <t>NPV delta vs. PayLink exclusive ($)</t>
        </is>
      </c>
      <c r="D29" s="7">
        <f>D26-C26</f>
        <v/>
      </c>
      <c r="E29" s="21">
        <f>E26-C26</f>
        <v/>
      </c>
    </row>
    <row r="30" ht="8" customHeight="1"/>
    <row r="31" ht="18" customHeight="1">
      <c r="B31" s="3" t="inlineStr">
        <is>
          <t>MODEL VERDICT</t>
        </is>
      </c>
      <c r="C31" s="10" t="n"/>
      <c r="D31" s="10" t="n"/>
      <c r="E31" s="4" t="n"/>
    </row>
    <row r="32" ht="17" customHeight="1">
      <c r="B32" s="28" t="inlineStr">
        <is>
          <t>Verdict</t>
        </is>
      </c>
      <c r="C32" s="29">
        <f>IF(C26&gt;E26,"Inferior to Bridge","Consider if Bridge fails")</f>
        <v/>
      </c>
      <c r="D32" s="29">
        <f>IF(D26&gt;E26,"Preferred over Bridge","Bridge wins")</f>
        <v/>
      </c>
      <c r="E32" s="29" t="inlineStr">
        <is>
          <t>RECOMMENDED</t>
        </is>
      </c>
    </row>
  </sheetData>
  <mergeCells count="9">
    <mergeCell ref="B31:E31"/>
    <mergeCell ref="B23:E23"/>
    <mergeCell ref="B18:E18"/>
    <mergeCell ref="B13:E13"/>
    <mergeCell ref="B7:E7"/>
    <mergeCell ref="B3:E3"/>
    <mergeCell ref="B5:E5"/>
    <mergeCell ref="B2:E2"/>
    <mergeCell ref="B28:E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2" customWidth="1" min="7" max="7"/>
  </cols>
  <sheetData>
    <row r="1" ht="8" customHeight="1"/>
    <row r="2" ht="22" customHeight="1">
      <c r="B2" s="30" t="inlineStr">
        <is>
          <t>Sensitivity: NPV Delta (Direct Build – PayLink) by Churn × GMV Capture</t>
        </is>
      </c>
    </row>
    <row r="3">
      <c r="B3" s="2" t="inlineStr">
        <is>
          <t>Green = Direct Build preferred. Amber = Negotiate/Bridge. Red = PayLink or Bridge preferred.</t>
        </is>
      </c>
    </row>
    <row r="5" ht="18" customHeight="1">
      <c r="B5" s="3" t="inlineStr">
        <is>
          <t>NPV DELTA ($) — DIRECT BUILD vs. PAYLINK EXCLUSIVE</t>
        </is>
      </c>
      <c r="C5" s="10" t="n"/>
      <c r="D5" s="10" t="n"/>
      <c r="E5" s="10" t="n"/>
      <c r="F5" s="4" t="n"/>
    </row>
    <row r="6" ht="28" customHeight="1">
      <c r="B6" s="11" t="inlineStr">
        <is>
          <t>Churn probability →
GMV capture ↓</t>
        </is>
      </c>
      <c r="C6" s="11" t="inlineStr">
        <is>
          <t>10% churn</t>
        </is>
      </c>
      <c r="D6" s="11" t="inlineStr">
        <is>
          <t>30% churn</t>
        </is>
      </c>
      <c r="E6" s="11" t="inlineStr">
        <is>
          <t>50% churn</t>
        </is>
      </c>
      <c r="F6" s="11" t="inlineStr">
        <is>
          <t>70% churn</t>
        </is>
      </c>
    </row>
    <row r="7" ht="18" customHeight="1">
      <c r="B7" s="31" t="inlineStr">
        <is>
          <t>100% GMV capture</t>
        </is>
      </c>
      <c r="C7" s="32" t="n">
        <v>438000</v>
      </c>
      <c r="D7" s="32" t="n">
        <v>329000</v>
      </c>
      <c r="E7" s="32" t="n">
        <v>221000</v>
      </c>
      <c r="F7" s="32" t="n">
        <v>112000</v>
      </c>
    </row>
    <row r="8" ht="18" customHeight="1">
      <c r="B8" s="31" t="inlineStr">
        <is>
          <t>87% GMV capture</t>
        </is>
      </c>
      <c r="C8" s="32" t="n">
        <v>232000</v>
      </c>
      <c r="D8" s="32" t="n">
        <v>125000</v>
      </c>
      <c r="E8" s="33" t="n">
        <v>13000</v>
      </c>
      <c r="F8" s="33" t="n">
        <v>-99000</v>
      </c>
    </row>
    <row r="9" ht="18" customHeight="1">
      <c r="B9" s="31" t="inlineStr">
        <is>
          <t>70% GMV capture</t>
        </is>
      </c>
      <c r="C9" s="33" t="n">
        <v>60000</v>
      </c>
      <c r="D9" s="33" t="n">
        <v>-49000</v>
      </c>
      <c r="E9" s="34" t="n">
        <v>-158000</v>
      </c>
      <c r="F9" s="34" t="n">
        <v>-267000</v>
      </c>
    </row>
    <row r="10" ht="18" customHeight="1">
      <c r="B10" s="31" t="inlineStr">
        <is>
          <t>60% GMV capture</t>
        </is>
      </c>
      <c r="C10" s="33" t="n">
        <v>-12000</v>
      </c>
      <c r="D10" s="34" t="n">
        <v>-121000</v>
      </c>
      <c r="E10" s="34" t="n">
        <v>-230000</v>
      </c>
      <c r="F10" s="34" t="n">
        <v>-339000</v>
      </c>
    </row>
    <row r="12" ht="8" customHeight="1"/>
    <row r="13" ht="28" customHeight="1">
      <c r="B13" s="35" t="inlineStr">
        <is>
          <t>Key insight: losing even one merchant fully (~$417K, 3yr) almost eliminates Direct Build's base advantage ($475K). The decision pivots on whether merchant churn is full exit or Indonesia-only. Bridge dominates under most scenarios.</t>
        </is>
      </c>
    </row>
    <row r="14" ht="18" customHeight="1"/>
  </sheetData>
  <mergeCells count="4">
    <mergeCell ref="B2:F2"/>
    <mergeCell ref="B13:F14"/>
    <mergeCell ref="B3:F3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2026-02-26T10:39:28Z</dcterms:created>
  <dcterms:modified xmlns:dcterms="http://purl.org/dc/terms/" xmlns:xsi="http://www.w3.org/2001/XMLSchema-instance" xsi:type="dcterms:W3CDTF">2026-02-26T10:39:28Z</dcterms:modified>
</cp:coreProperties>
</file>